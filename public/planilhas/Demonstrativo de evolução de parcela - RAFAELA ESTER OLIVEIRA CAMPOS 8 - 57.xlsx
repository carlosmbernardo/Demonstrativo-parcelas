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porte\Downloads\"/>
    </mc:Choice>
  </mc:AlternateContent>
  <xr:revisionPtr revIDLastSave="0" documentId="13_ncr:1_{4D18F5F6-5CC9-4F74-8675-4FA323B6165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Evolu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1" l="1"/>
  <c r="H12" i="1"/>
  <c r="G5" i="1"/>
  <c r="D13" i="1"/>
  <c r="E13" i="1"/>
  <c r="D14" i="1"/>
  <c r="E14" i="1"/>
  <c r="D15" i="1"/>
  <c r="E15" i="1"/>
  <c r="D16" i="1"/>
  <c r="E16" i="1"/>
  <c r="D17" i="1"/>
  <c r="E17" i="1"/>
  <c r="D18" i="1"/>
  <c r="E18" i="1"/>
  <c r="E12" i="1"/>
  <c r="G12" i="1"/>
  <c r="F12" i="1"/>
  <c r="D12" i="1"/>
  <c r="A11" i="1"/>
  <c r="H11" i="1"/>
  <c r="I11" i="1" s="1"/>
  <c r="C12" i="1" s="1"/>
  <c r="C13" i="1" l="1"/>
  <c r="F13" i="1" s="1"/>
  <c r="G13" i="1" l="1"/>
  <c r="H13" i="1"/>
  <c r="I13" i="1" s="1"/>
  <c r="C14" i="1" s="1"/>
  <c r="F14" i="1"/>
  <c r="G14" i="1" s="1"/>
  <c r="H14" i="1" s="1"/>
  <c r="I14" i="1" l="1"/>
  <c r="C15" i="1" s="1"/>
  <c r="F15" i="1" l="1"/>
  <c r="G15" i="1"/>
  <c r="H15" i="1" s="1"/>
  <c r="I15" i="1" l="1"/>
  <c r="C16" i="1" s="1"/>
  <c r="F16" i="1" l="1"/>
  <c r="G16" i="1" l="1"/>
  <c r="H16" i="1" s="1"/>
  <c r="I16" i="1" s="1"/>
  <c r="C17" i="1" s="1"/>
  <c r="F17" i="1" l="1"/>
  <c r="G17" i="1"/>
  <c r="H17" i="1" l="1"/>
  <c r="I17" i="1"/>
  <c r="C18" i="1" s="1"/>
  <c r="F18" i="1" l="1"/>
  <c r="G18" i="1" s="1"/>
  <c r="H18" i="1" l="1"/>
  <c r="G4" i="1"/>
  <c r="I3" i="1" s="1"/>
  <c r="I18" i="1"/>
  <c r="C19" i="1" s="1"/>
  <c r="I19" i="1" s="1"/>
</calcChain>
</file>

<file path=xl/sharedStrings.xml><?xml version="1.0" encoding="utf-8"?>
<sst xmlns="http://schemas.openxmlformats.org/spreadsheetml/2006/main" count="71" uniqueCount="25">
  <si>
    <t>Detalhamento da evolução do valor</t>
  </si>
  <si>
    <t/>
  </si>
  <si>
    <t>Título</t>
  </si>
  <si>
    <t>Valor original</t>
  </si>
  <si>
    <t>Receber de</t>
  </si>
  <si>
    <t>Correção</t>
  </si>
  <si>
    <t>Competência</t>
  </si>
  <si>
    <t>Vencimento</t>
  </si>
  <si>
    <t>Pagamento</t>
  </si>
  <si>
    <t>Juros</t>
  </si>
  <si>
    <t>Data</t>
  </si>
  <si>
    <t>Tipo</t>
  </si>
  <si>
    <t>Saldo Anterior</t>
  </si>
  <si>
    <t>Índice</t>
  </si>
  <si>
    <t>Valor</t>
  </si>
  <si>
    <t>Saldo</t>
  </si>
  <si>
    <t>Utilizado</t>
  </si>
  <si>
    <t>Mês/Ano</t>
  </si>
  <si>
    <t>Variação %</t>
  </si>
  <si>
    <t>RAFAELA ESTER OLIVEIRA CAMPOS</t>
  </si>
  <si>
    <t>Indice</t>
  </si>
  <si>
    <t xml:space="preserve">INPC/IBGE + </t>
  </si>
  <si>
    <t>8 de 57</t>
  </si>
  <si>
    <t>INPC/IBGE</t>
  </si>
  <si>
    <t>A atualização da parcela ocorre automaticamente na data de publicação do índice.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</si>
</sst>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m/yyyy"/>
  </numFmts>
  <fonts count="35" x14ac:knownFonts="1">
    <font>
      <sz val="11"/>
      <name val="Calibri"/>
    </font>
    <font>
      <sz val="11"/>
      <name val="Calibri"/>
    </font>
    <font>
      <b/>
      <sz val="13"/>
      <color rgb="FFFFFFFF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b/>
      <sz val="12"/>
      <name val="Calibri"/>
    </font>
    <font>
      <b/>
      <sz val="12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9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/>
      <right/>
      <top/>
      <bottom style="hair">
        <color rgb="FF9DC3E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4" fontId="6" fillId="0" borderId="0" xfId="0" applyNumberFormat="1" applyFont="1" applyAlignment="1">
      <alignment horizontal="right" vertical="center"/>
    </xf>
    <xf numFmtId="14" fontId="9" fillId="0" borderId="0" xfId="0" applyNumberFormat="1" applyFont="1" applyAlignment="1">
      <alignment horizontal="left" vertical="center"/>
    </xf>
    <xf numFmtId="0" fontId="11" fillId="7" borderId="2" xfId="0" applyFont="1" applyFill="1" applyBorder="1" applyAlignment="1">
      <alignment horizontal="center" vertical="center" wrapText="1"/>
    </xf>
    <xf numFmtId="14" fontId="12" fillId="8" borderId="3" xfId="0" applyNumberFormat="1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left" vertical="center"/>
    </xf>
    <xf numFmtId="44" fontId="14" fillId="10" borderId="5" xfId="0" applyNumberFormat="1" applyFont="1" applyFill="1" applyBorder="1" applyAlignment="1">
      <alignment horizontal="right" vertical="center"/>
    </xf>
    <xf numFmtId="0" fontId="0" fillId="11" borderId="6" xfId="0" applyFill="1" applyBorder="1"/>
    <xf numFmtId="44" fontId="15" fillId="12" borderId="7" xfId="0" applyNumberFormat="1" applyFont="1" applyFill="1" applyBorder="1" applyAlignment="1">
      <alignment horizontal="right" vertical="center"/>
    </xf>
    <xf numFmtId="44" fontId="18" fillId="14" borderId="11" xfId="0" applyNumberFormat="1" applyFont="1" applyFill="1" applyBorder="1" applyAlignment="1">
      <alignment horizontal="right" vertical="center"/>
    </xf>
    <xf numFmtId="0" fontId="0" fillId="15" borderId="12" xfId="0" applyFill="1" applyBorder="1"/>
    <xf numFmtId="10" fontId="19" fillId="16" borderId="13" xfId="0" applyNumberFormat="1" applyFont="1" applyFill="1" applyBorder="1" applyAlignment="1">
      <alignment horizontal="right" vertical="center"/>
    </xf>
    <xf numFmtId="10" fontId="20" fillId="17" borderId="14" xfId="0" applyNumberFormat="1" applyFont="1" applyFill="1" applyBorder="1" applyAlignment="1">
      <alignment horizontal="right" vertical="center"/>
    </xf>
    <xf numFmtId="44" fontId="21" fillId="18" borderId="15" xfId="0" applyNumberFormat="1" applyFont="1" applyFill="1" applyBorder="1" applyAlignment="1">
      <alignment horizontal="right" vertical="center"/>
    </xf>
    <xf numFmtId="14" fontId="25" fillId="21" borderId="20" xfId="0" applyNumberFormat="1" applyFont="1" applyFill="1" applyBorder="1" applyAlignment="1">
      <alignment horizontal="center" vertical="center"/>
    </xf>
    <xf numFmtId="10" fontId="0" fillId="0" borderId="0" xfId="0" applyNumberFormat="1" applyFill="1"/>
    <xf numFmtId="10" fontId="17" fillId="0" borderId="9" xfId="0" applyNumberFormat="1" applyFont="1" applyFill="1" applyBorder="1" applyAlignment="1">
      <alignment horizontal="right" vertical="center"/>
    </xf>
    <xf numFmtId="164" fontId="22" fillId="0" borderId="16" xfId="0" applyNumberFormat="1" applyFont="1" applyFill="1" applyBorder="1" applyAlignment="1">
      <alignment horizontal="center" vertical="center"/>
    </xf>
    <xf numFmtId="10" fontId="20" fillId="0" borderId="14" xfId="0" applyNumberFormat="1" applyFont="1" applyFill="1" applyBorder="1" applyAlignment="1">
      <alignment horizontal="right" vertical="center"/>
    </xf>
    <xf numFmtId="10" fontId="23" fillId="0" borderId="18" xfId="0" applyNumberFormat="1" applyFont="1" applyFill="1" applyBorder="1" applyAlignment="1">
      <alignment horizontal="right" vertical="center"/>
    </xf>
    <xf numFmtId="164" fontId="26" fillId="0" borderId="22" xfId="0" applyNumberFormat="1" applyFont="1" applyFill="1" applyBorder="1" applyAlignment="1">
      <alignment horizontal="center" vertical="center"/>
    </xf>
    <xf numFmtId="0" fontId="0" fillId="0" borderId="0" xfId="0" applyFill="1"/>
    <xf numFmtId="14" fontId="27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44" fontId="29" fillId="13" borderId="10" xfId="0" applyNumberFormat="1" applyFont="1" applyFill="1" applyBorder="1" applyAlignment="1">
      <alignment horizontal="left" vertical="center"/>
    </xf>
    <xf numFmtId="0" fontId="30" fillId="7" borderId="2" xfId="0" applyFont="1" applyFill="1" applyBorder="1" applyAlignment="1">
      <alignment horizontal="center" vertical="center" wrapText="1"/>
    </xf>
    <xf numFmtId="14" fontId="29" fillId="0" borderId="0" xfId="0" applyNumberFormat="1" applyFont="1" applyAlignment="1">
      <alignment horizontal="left" vertical="center"/>
    </xf>
    <xf numFmtId="44" fontId="19" fillId="16" borderId="13" xfId="1" applyNumberFormat="1" applyFont="1" applyFill="1" applyBorder="1" applyAlignment="1">
      <alignment horizontal="right" vertical="center"/>
    </xf>
    <xf numFmtId="44" fontId="20" fillId="17" borderId="14" xfId="1" applyFont="1" applyFill="1" applyBorder="1" applyAlignment="1">
      <alignment horizontal="right" vertical="center"/>
    </xf>
    <xf numFmtId="9" fontId="0" fillId="0" borderId="0" xfId="0" applyNumberFormat="1"/>
    <xf numFmtId="14" fontId="32" fillId="19" borderId="17" xfId="0" applyNumberFormat="1" applyFont="1" applyFill="1" applyBorder="1" applyAlignment="1">
      <alignment horizontal="center" vertical="center"/>
    </xf>
    <xf numFmtId="0" fontId="32" fillId="22" borderId="21" xfId="0" applyFont="1" applyFill="1" applyBorder="1" applyAlignment="1">
      <alignment horizontal="left" vertical="center"/>
    </xf>
    <xf numFmtId="44" fontId="32" fillId="12" borderId="7" xfId="0" applyNumberFormat="1" applyFont="1" applyFill="1" applyBorder="1" applyAlignment="1">
      <alignment horizontal="right" vertical="center"/>
    </xf>
    <xf numFmtId="0" fontId="33" fillId="11" borderId="6" xfId="0" applyFont="1" applyFill="1" applyBorder="1"/>
    <xf numFmtId="10" fontId="32" fillId="20" borderId="18" xfId="0" applyNumberFormat="1" applyFont="1" applyFill="1" applyBorder="1" applyAlignment="1">
      <alignment horizontal="right" vertical="center"/>
    </xf>
    <xf numFmtId="0" fontId="34" fillId="22" borderId="0" xfId="0" applyFont="1" applyFill="1"/>
    <xf numFmtId="0" fontId="11" fillId="0" borderId="2" xfId="0" applyFont="1" applyFill="1" applyBorder="1" applyAlignment="1">
      <alignment vertical="center" wrapText="1"/>
    </xf>
    <xf numFmtId="164" fontId="16" fillId="22" borderId="8" xfId="0" applyNumberFormat="1" applyFont="1" applyFill="1" applyBorder="1" applyAlignment="1">
      <alignment horizontal="center" vertical="center"/>
    </xf>
    <xf numFmtId="10" fontId="0" fillId="22" borderId="0" xfId="0" applyNumberFormat="1" applyFill="1"/>
    <xf numFmtId="164" fontId="24" fillId="22" borderId="19" xfId="0" applyNumberFormat="1" applyFont="1" applyFill="1" applyBorder="1" applyAlignment="1">
      <alignment horizontal="center" vertical="center"/>
    </xf>
    <xf numFmtId="14" fontId="27" fillId="22" borderId="0" xfId="0" applyNumberFormat="1" applyFont="1" applyFill="1" applyAlignment="1">
      <alignment horizontal="center" vertical="center"/>
    </xf>
    <xf numFmtId="44" fontId="29" fillId="22" borderId="10" xfId="0" applyNumberFormat="1" applyFont="1" applyFill="1" applyBorder="1" applyAlignment="1">
      <alignment horizontal="left" vertical="center"/>
    </xf>
    <xf numFmtId="44" fontId="18" fillId="22" borderId="11" xfId="0" applyNumberFormat="1" applyFont="1" applyFill="1" applyBorder="1" applyAlignment="1">
      <alignment horizontal="right" vertical="center"/>
    </xf>
    <xf numFmtId="10" fontId="19" fillId="22" borderId="13" xfId="0" applyNumberFormat="1" applyFont="1" applyFill="1" applyBorder="1" applyAlignment="1">
      <alignment horizontal="right" vertical="center"/>
    </xf>
    <xf numFmtId="10" fontId="20" fillId="22" borderId="14" xfId="0" applyNumberFormat="1" applyFont="1" applyFill="1" applyBorder="1" applyAlignment="1">
      <alignment horizontal="right" vertical="center"/>
    </xf>
    <xf numFmtId="44" fontId="19" fillId="22" borderId="13" xfId="1" applyNumberFormat="1" applyFont="1" applyFill="1" applyBorder="1" applyAlignment="1">
      <alignment horizontal="right" vertical="center"/>
    </xf>
    <xf numFmtId="44" fontId="20" fillId="22" borderId="14" xfId="1" applyFont="1" applyFill="1" applyBorder="1" applyAlignment="1">
      <alignment horizontal="right" vertical="center"/>
    </xf>
    <xf numFmtId="44" fontId="21" fillId="22" borderId="15" xfId="0" applyNumberFormat="1" applyFont="1" applyFill="1" applyBorder="1" applyAlignment="1">
      <alignment horizontal="right" vertical="center"/>
    </xf>
    <xf numFmtId="164" fontId="26" fillId="22" borderId="2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0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" fontId="2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4" fontId="7" fillId="4" borderId="0" xfId="0" applyNumberFormat="1" applyFont="1" applyFill="1" applyAlignment="1">
      <alignment horizontal="right" vertical="center"/>
    </xf>
    <xf numFmtId="44" fontId="8" fillId="5" borderId="0" xfId="0" applyNumberFormat="1" applyFont="1" applyFill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I20" sqref="I20"/>
    </sheetView>
  </sheetViews>
  <sheetFormatPr defaultRowHeight="15" x14ac:dyDescent="0.25"/>
  <cols>
    <col min="1" max="1" width="12.85546875" customWidth="1"/>
    <col min="2" max="3" width="16.85546875" customWidth="1"/>
    <col min="4" max="5" width="14.85546875" customWidth="1"/>
    <col min="6" max="7" width="13.85546875" customWidth="1"/>
    <col min="8" max="8" width="14.85546875" customWidth="1"/>
    <col min="9" max="9" width="17.85546875" customWidth="1"/>
    <col min="10" max="10" width="2.85546875" customWidth="1"/>
    <col min="11" max="11" width="12.85546875" customWidth="1"/>
    <col min="12" max="12" width="13.85546875" customWidth="1"/>
    <col min="13" max="13" width="11.85546875" customWidth="1"/>
  </cols>
  <sheetData>
    <row r="1" spans="1:13" ht="26.1" customHeight="1" x14ac:dyDescent="0.25">
      <c r="A1" s="55" t="s">
        <v>0</v>
      </c>
      <c r="B1" s="56" t="s">
        <v>1</v>
      </c>
      <c r="C1" s="56" t="s">
        <v>1</v>
      </c>
      <c r="D1" s="56" t="s">
        <v>1</v>
      </c>
      <c r="E1" s="56" t="s">
        <v>1</v>
      </c>
      <c r="F1" s="56" t="s">
        <v>1</v>
      </c>
      <c r="G1" s="56" t="s">
        <v>1</v>
      </c>
      <c r="H1" s="56" t="s">
        <v>1</v>
      </c>
      <c r="I1" s="56" t="s">
        <v>1</v>
      </c>
    </row>
    <row r="2" spans="1:13" ht="5.0999999999999996" customHeight="1" x14ac:dyDescent="0.25"/>
    <row r="3" spans="1:13" ht="18" customHeight="1" x14ac:dyDescent="0.25">
      <c r="A3" s="1" t="s">
        <v>2</v>
      </c>
      <c r="B3" s="2">
        <v>62</v>
      </c>
      <c r="C3" s="57" t="s">
        <v>22</v>
      </c>
      <c r="D3" s="58" t="s">
        <v>1</v>
      </c>
      <c r="E3" s="58" t="s">
        <v>1</v>
      </c>
      <c r="F3" s="1" t="s">
        <v>3</v>
      </c>
      <c r="G3" s="3">
        <v>394.81</v>
      </c>
      <c r="H3" t="s">
        <v>1</v>
      </c>
      <c r="I3" s="59">
        <f>G5-(G3+G4)</f>
        <v>4.0529443784862451E-3</v>
      </c>
    </row>
    <row r="4" spans="1:13" ht="18" customHeight="1" x14ac:dyDescent="0.25">
      <c r="A4" s="1" t="s">
        <v>4</v>
      </c>
      <c r="B4" s="58" t="s">
        <v>19</v>
      </c>
      <c r="C4" s="58" t="s">
        <v>1</v>
      </c>
      <c r="D4" s="58" t="s">
        <v>1</v>
      </c>
      <c r="E4" s="58" t="s">
        <v>1</v>
      </c>
      <c r="F4" s="1" t="s">
        <v>5</v>
      </c>
      <c r="G4" s="3">
        <f>SUM(F12:G18)</f>
        <v>41.065947055621528</v>
      </c>
      <c r="H4" t="s">
        <v>1</v>
      </c>
      <c r="I4" s="60" t="s">
        <v>1</v>
      </c>
    </row>
    <row r="5" spans="1:13" ht="18" customHeight="1" x14ac:dyDescent="0.25">
      <c r="A5" s="1" t="s">
        <v>6</v>
      </c>
      <c r="B5" s="4">
        <v>45953</v>
      </c>
      <c r="D5" s="1" t="s">
        <v>7</v>
      </c>
      <c r="E5" s="4">
        <v>46193</v>
      </c>
      <c r="F5" s="1" t="s">
        <v>8</v>
      </c>
      <c r="G5" s="3">
        <f>H19</f>
        <v>435.88</v>
      </c>
      <c r="H5" t="s">
        <v>1</v>
      </c>
      <c r="I5" s="60" t="s">
        <v>1</v>
      </c>
    </row>
    <row r="6" spans="1:13" ht="18" customHeight="1" x14ac:dyDescent="0.25">
      <c r="A6" s="1" t="s">
        <v>5</v>
      </c>
      <c r="B6" s="28" t="s">
        <v>21</v>
      </c>
      <c r="C6" s="31">
        <v>0.01</v>
      </c>
      <c r="F6" s="1"/>
      <c r="G6" s="3"/>
      <c r="H6" t="s">
        <v>1</v>
      </c>
      <c r="I6" s="60" t="s">
        <v>1</v>
      </c>
    </row>
    <row r="7" spans="1:13" ht="18" customHeight="1" x14ac:dyDescent="0.25">
      <c r="A7" s="52" t="s">
        <v>24</v>
      </c>
      <c r="B7" s="52"/>
      <c r="C7" s="52"/>
      <c r="D7" s="52"/>
      <c r="E7" s="52"/>
      <c r="F7" s="1"/>
      <c r="G7" s="3"/>
      <c r="H7" t="s">
        <v>1</v>
      </c>
      <c r="I7" s="60" t="s">
        <v>1</v>
      </c>
    </row>
    <row r="8" spans="1:13" ht="5.0999999999999996" customHeight="1" x14ac:dyDescent="0.25"/>
    <row r="9" spans="1:13" ht="21.95" customHeight="1" x14ac:dyDescent="0.25">
      <c r="A9" s="61" t="s">
        <v>10</v>
      </c>
      <c r="B9" s="51" t="s">
        <v>11</v>
      </c>
      <c r="C9" s="51" t="s">
        <v>12</v>
      </c>
      <c r="D9" s="51" t="s">
        <v>13</v>
      </c>
      <c r="E9" s="51" t="s">
        <v>1</v>
      </c>
      <c r="F9" s="62" t="s">
        <v>14</v>
      </c>
      <c r="G9" s="51" t="s">
        <v>1</v>
      </c>
      <c r="H9" s="51" t="s">
        <v>14</v>
      </c>
      <c r="I9" s="51" t="s">
        <v>15</v>
      </c>
      <c r="K9" s="53" t="s">
        <v>23</v>
      </c>
      <c r="L9" s="54"/>
      <c r="M9" s="38" t="s">
        <v>1</v>
      </c>
    </row>
    <row r="10" spans="1:13" ht="15.95" customHeight="1" x14ac:dyDescent="0.25">
      <c r="A10" s="51" t="s">
        <v>1</v>
      </c>
      <c r="B10" s="51" t="s">
        <v>1</v>
      </c>
      <c r="C10" s="51" t="s">
        <v>1</v>
      </c>
      <c r="D10" s="5" t="s">
        <v>16</v>
      </c>
      <c r="E10" s="27" t="s">
        <v>9</v>
      </c>
      <c r="F10" s="27" t="s">
        <v>20</v>
      </c>
      <c r="G10" s="27" t="s">
        <v>9</v>
      </c>
      <c r="H10" s="51" t="s">
        <v>1</v>
      </c>
      <c r="I10" s="51" t="s">
        <v>1</v>
      </c>
      <c r="K10" s="5" t="s">
        <v>17</v>
      </c>
      <c r="L10" s="5" t="s">
        <v>18</v>
      </c>
    </row>
    <row r="11" spans="1:13" x14ac:dyDescent="0.25">
      <c r="A11" s="6">
        <f>B5</f>
        <v>45953</v>
      </c>
      <c r="B11" s="7" t="s">
        <v>3</v>
      </c>
      <c r="C11" s="8" t="s">
        <v>1</v>
      </c>
      <c r="D11" s="9" t="s">
        <v>1</v>
      </c>
      <c r="E11" s="9" t="s">
        <v>1</v>
      </c>
      <c r="F11" s="9" t="s">
        <v>1</v>
      </c>
      <c r="G11" s="9" t="s">
        <v>1</v>
      </c>
      <c r="H11" s="10">
        <f>G3</f>
        <v>394.81</v>
      </c>
      <c r="I11" s="10">
        <f>ROUND(H11,2)</f>
        <v>394.81</v>
      </c>
      <c r="K11" s="39">
        <v>45972</v>
      </c>
      <c r="L11" s="40">
        <v>3.00027163713689E-4</v>
      </c>
      <c r="M11" s="18"/>
    </row>
    <row r="12" spans="1:13" x14ac:dyDescent="0.25">
      <c r="A12" s="24">
        <v>45972</v>
      </c>
      <c r="B12" s="26" t="s">
        <v>5</v>
      </c>
      <c r="C12" s="11">
        <f>I11</f>
        <v>394.81</v>
      </c>
      <c r="D12" s="13">
        <f>L11</f>
        <v>3.00027163713689E-4</v>
      </c>
      <c r="E12" s="14">
        <f>$C$6</f>
        <v>0.01</v>
      </c>
      <c r="F12" s="29">
        <f>(C12*D12)</f>
        <v>0.11845372450580155</v>
      </c>
      <c r="G12" s="30">
        <f>(C12+F12)*E12</f>
        <v>3.9492845372450582</v>
      </c>
      <c r="H12" s="15">
        <f>F12+G12</f>
        <v>4.0677382617508595</v>
      </c>
      <c r="I12" s="15">
        <f>C12+H12</f>
        <v>398.87773826175084</v>
      </c>
      <c r="K12" s="19">
        <v>46001</v>
      </c>
      <c r="L12" s="17">
        <v>2.9999315372974901E-4</v>
      </c>
      <c r="M12" s="20"/>
    </row>
    <row r="13" spans="1:13" x14ac:dyDescent="0.25">
      <c r="A13" s="42">
        <v>46001</v>
      </c>
      <c r="B13" s="43" t="s">
        <v>5</v>
      </c>
      <c r="C13" s="44">
        <f t="shared" ref="C13:C18" si="0">I12</f>
        <v>398.87773826175084</v>
      </c>
      <c r="D13" s="45">
        <f t="shared" ref="D13:D18" si="1">L12</f>
        <v>2.9999315372974901E-4</v>
      </c>
      <c r="E13" s="46">
        <f t="shared" ref="E13:E18" si="2">$C$6</f>
        <v>0.01</v>
      </c>
      <c r="F13" s="47">
        <f t="shared" ref="F13:F18" si="3">(C13*D13)</f>
        <v>0.11966059065373201</v>
      </c>
      <c r="G13" s="48">
        <f t="shared" ref="G13:G18" si="4">(C13+F13)*E13</f>
        <v>3.9899739885240457</v>
      </c>
      <c r="H13" s="49">
        <f t="shared" ref="H13:H18" si="5">C13+F13+G13</f>
        <v>402.98737284092863</v>
      </c>
      <c r="I13" s="49">
        <f t="shared" ref="I13:I18" si="6">H13</f>
        <v>402.98737284092863</v>
      </c>
      <c r="K13" s="41">
        <v>46031</v>
      </c>
      <c r="L13" s="40">
        <v>2.0999938441219599E-3</v>
      </c>
      <c r="M13" s="21"/>
    </row>
    <row r="14" spans="1:13" x14ac:dyDescent="0.25">
      <c r="A14" s="25">
        <v>46031</v>
      </c>
      <c r="B14" s="26" t="s">
        <v>5</v>
      </c>
      <c r="C14" s="11">
        <f t="shared" si="0"/>
        <v>402.98737284092863</v>
      </c>
      <c r="D14" s="13">
        <f t="shared" si="1"/>
        <v>2.0999938441219599E-3</v>
      </c>
      <c r="E14" s="14">
        <f t="shared" si="2"/>
        <v>0.01</v>
      </c>
      <c r="F14" s="29">
        <f t="shared" si="3"/>
        <v>0.8462710022248312</v>
      </c>
      <c r="G14" s="30">
        <f t="shared" si="4"/>
        <v>4.0383364384315348</v>
      </c>
      <c r="H14" s="15">
        <f t="shared" si="5"/>
        <v>407.87198028158502</v>
      </c>
      <c r="I14" s="15">
        <f t="shared" si="6"/>
        <v>407.87198028158502</v>
      </c>
      <c r="K14" s="22">
        <v>46063</v>
      </c>
      <c r="L14" s="17">
        <v>3.9000090748535499E-3</v>
      </c>
      <c r="M14" s="20"/>
    </row>
    <row r="15" spans="1:13" x14ac:dyDescent="0.25">
      <c r="A15" s="42">
        <v>46063</v>
      </c>
      <c r="B15" s="43" t="s">
        <v>5</v>
      </c>
      <c r="C15" s="44">
        <f t="shared" si="0"/>
        <v>407.87198028158502</v>
      </c>
      <c r="D15" s="45">
        <f t="shared" si="1"/>
        <v>3.9000090748535499E-3</v>
      </c>
      <c r="E15" s="46">
        <f t="shared" si="2"/>
        <v>0.01</v>
      </c>
      <c r="F15" s="47">
        <f t="shared" si="3"/>
        <v>1.5907044244766697</v>
      </c>
      <c r="G15" s="48">
        <f t="shared" si="4"/>
        <v>4.0946268470606171</v>
      </c>
      <c r="H15" s="49">
        <f t="shared" si="5"/>
        <v>413.5573115531223</v>
      </c>
      <c r="I15" s="49">
        <f t="shared" si="6"/>
        <v>413.5573115531223</v>
      </c>
      <c r="K15" s="41">
        <v>46093</v>
      </c>
      <c r="L15" s="40">
        <v>5.5999898979004403E-3</v>
      </c>
      <c r="M15" s="21"/>
    </row>
    <row r="16" spans="1:13" x14ac:dyDescent="0.25">
      <c r="A16" s="24">
        <v>46093</v>
      </c>
      <c r="B16" s="26" t="s">
        <v>5</v>
      </c>
      <c r="C16" s="11">
        <f t="shared" si="0"/>
        <v>413.5573115531223</v>
      </c>
      <c r="D16" s="13">
        <f t="shared" si="1"/>
        <v>5.5999898979004403E-3</v>
      </c>
      <c r="E16" s="14">
        <f t="shared" si="2"/>
        <v>0.01</v>
      </c>
      <c r="F16" s="29">
        <f t="shared" si="3"/>
        <v>2.31591676690035</v>
      </c>
      <c r="G16" s="30">
        <f t="shared" si="4"/>
        <v>4.1587322832002265</v>
      </c>
      <c r="H16" s="15">
        <f t="shared" si="5"/>
        <v>420.03196060322284</v>
      </c>
      <c r="I16" s="15">
        <f t="shared" si="6"/>
        <v>420.03196060322284</v>
      </c>
      <c r="K16" s="22">
        <v>46122</v>
      </c>
      <c r="L16" s="17">
        <v>9.1000069756652594E-3</v>
      </c>
      <c r="M16" s="20"/>
    </row>
    <row r="17" spans="1:13" x14ac:dyDescent="0.25">
      <c r="A17" s="42">
        <v>46122</v>
      </c>
      <c r="B17" s="43" t="s">
        <v>5</v>
      </c>
      <c r="C17" s="44">
        <f t="shared" si="0"/>
        <v>420.03196060322284</v>
      </c>
      <c r="D17" s="45">
        <f t="shared" si="1"/>
        <v>9.1000069756652594E-3</v>
      </c>
      <c r="E17" s="46">
        <f t="shared" si="2"/>
        <v>0.01</v>
      </c>
      <c r="F17" s="47">
        <f t="shared" si="3"/>
        <v>3.8222937714916831</v>
      </c>
      <c r="G17" s="48">
        <f t="shared" si="4"/>
        <v>4.2385425437471449</v>
      </c>
      <c r="H17" s="49">
        <f t="shared" si="5"/>
        <v>428.09279691846166</v>
      </c>
      <c r="I17" s="49">
        <f t="shared" si="6"/>
        <v>428.09279691846166</v>
      </c>
      <c r="K17" s="50">
        <v>46154</v>
      </c>
      <c r="L17" s="40">
        <v>8.0999884275698708E-3</v>
      </c>
      <c r="M17" s="23"/>
    </row>
    <row r="18" spans="1:13" x14ac:dyDescent="0.25">
      <c r="A18" s="24">
        <v>46154</v>
      </c>
      <c r="B18" s="26" t="s">
        <v>5</v>
      </c>
      <c r="C18" s="11">
        <f t="shared" si="0"/>
        <v>428.09279691846166</v>
      </c>
      <c r="D18" s="13">
        <f t="shared" si="1"/>
        <v>8.0999884275698708E-3</v>
      </c>
      <c r="E18" s="14">
        <f t="shared" si="2"/>
        <v>0.01</v>
      </c>
      <c r="F18" s="29">
        <f t="shared" si="3"/>
        <v>3.4675467009655585</v>
      </c>
      <c r="G18" s="30">
        <f t="shared" si="4"/>
        <v>4.3156034361942721</v>
      </c>
      <c r="H18" s="15">
        <f t="shared" si="5"/>
        <v>435.87594705562151</v>
      </c>
      <c r="I18" s="15">
        <f t="shared" si="6"/>
        <v>435.87594705562151</v>
      </c>
      <c r="L18" s="17"/>
    </row>
    <row r="19" spans="1:13" x14ac:dyDescent="0.25">
      <c r="A19" s="32">
        <v>46181</v>
      </c>
      <c r="B19" s="33" t="s">
        <v>8</v>
      </c>
      <c r="C19" s="34">
        <f>I18</f>
        <v>435.87594705562151</v>
      </c>
      <c r="D19" s="34"/>
      <c r="E19" s="34"/>
      <c r="F19" s="35"/>
      <c r="G19" s="36"/>
      <c r="H19" s="37">
        <v>435.88</v>
      </c>
      <c r="I19" s="34">
        <f>H19-C19</f>
        <v>4.0529443784862451E-3</v>
      </c>
    </row>
    <row r="20" spans="1:13" x14ac:dyDescent="0.25">
      <c r="A20" s="16"/>
      <c r="C20" s="15"/>
      <c r="D20" s="15"/>
      <c r="E20" s="15"/>
      <c r="F20" s="12"/>
      <c r="G20" s="12"/>
      <c r="H20" s="15"/>
      <c r="I20" s="15"/>
    </row>
  </sheetData>
  <mergeCells count="13">
    <mergeCell ref="D9:E9"/>
    <mergeCell ref="A7:E7"/>
    <mergeCell ref="K9:L9"/>
    <mergeCell ref="A1:I1"/>
    <mergeCell ref="C3:E3"/>
    <mergeCell ref="B4:E4"/>
    <mergeCell ref="I3:I7"/>
    <mergeCell ref="A9:A10"/>
    <mergeCell ref="B9:B10"/>
    <mergeCell ref="C9:C10"/>
    <mergeCell ref="F9:G9"/>
    <mergeCell ref="H9:H10"/>
    <mergeCell ref="I9:I10"/>
  </mergeCells>
  <pageMargins left="0.511811024" right="0.511811024" top="0.78740157499999996" bottom="0.78740157499999996" header="0.31496062000000002" footer="0.31496062000000002"/>
  <ignoredErrors>
    <ignoredError sqref="A1:M2 A5 A4 C4:F4 A3 D3:F3 H3 A8:M8 A6 D6:E6 H7:M7 C5:D5 F5 J19:M20 B11:C11 J12:J16 I11:J11 M17 A10:C10 H10:K10 H5:M5 H4:M4 A9:C9 G9:J9 F11:G11 H6:M6 J3:M3 M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Evolução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Eobra</dc:creator>
  <cp:lastModifiedBy>carlos bernardo</cp:lastModifiedBy>
  <dcterms:created xsi:type="dcterms:W3CDTF">2026-07-03T12:21:28Z</dcterms:created>
  <dcterms:modified xsi:type="dcterms:W3CDTF">2026-07-03T12:30:11Z</dcterms:modified>
</cp:coreProperties>
</file>